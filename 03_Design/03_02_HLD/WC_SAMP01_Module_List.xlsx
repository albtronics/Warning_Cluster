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rchir\Desktop\War_Cluster\03_Design\03_02_HLD\"/>
    </mc:Choice>
  </mc:AlternateContent>
  <xr:revisionPtr revIDLastSave="0" documentId="13_ncr:1_{0A90CDDD-553E-47EB-BB70-476A77285A23}" xr6:coauthVersionLast="47" xr6:coauthVersionMax="47" xr10:uidLastSave="{00000000-0000-0000-0000-000000000000}"/>
  <bookViews>
    <workbookView xWindow="435" yWindow="1920" windowWidth="12585" windowHeight="6735" activeTab="6" xr2:uid="{00000000-000D-0000-FFFF-FFFF00000000}"/>
  </bookViews>
  <sheets>
    <sheet name="Sheet1" sheetId="1" r:id="rId1"/>
    <sheet name="Sheet2" sheetId="2" r:id="rId2"/>
    <sheet name="Sheet3" sheetId="3" r:id="rId3"/>
    <sheet name="AL_Design" sheetId="4" r:id="rId4"/>
    <sheet name="ASCII" sheetId="5" r:id="rId5"/>
    <sheet name="Sheet4" sheetId="6" r:id="rId6"/>
    <sheet name="Sheet5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5" l="1"/>
  <c r="K6" i="5"/>
  <c r="L6" i="5"/>
  <c r="M6" i="5"/>
  <c r="N6" i="5"/>
  <c r="O6" i="5"/>
  <c r="P6" i="5"/>
  <c r="Q6" i="5"/>
  <c r="R6" i="5"/>
  <c r="I6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5" i="5"/>
  <c r="C30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5" i="5"/>
  <c r="E8" i="4"/>
  <c r="M13" i="3"/>
  <c r="M9" i="3"/>
  <c r="N9" i="3"/>
  <c r="M10" i="3"/>
  <c r="N10" i="3" s="1"/>
  <c r="M11" i="3"/>
  <c r="M12" i="3"/>
  <c r="N8" i="3"/>
  <c r="M8" i="3"/>
</calcChain>
</file>

<file path=xl/sharedStrings.xml><?xml version="1.0" encoding="utf-8"?>
<sst xmlns="http://schemas.openxmlformats.org/spreadsheetml/2006/main" count="181" uniqueCount="145">
  <si>
    <t>Product:</t>
  </si>
  <si>
    <t>WC_SAMP01 (AUTOMOTIVE WARNING CLUSTER)</t>
  </si>
  <si>
    <t>Sl.No</t>
  </si>
  <si>
    <t>Module</t>
  </si>
  <si>
    <t>Remarks</t>
  </si>
  <si>
    <t>Telltale</t>
  </si>
  <si>
    <t>Indicators</t>
  </si>
  <si>
    <t>Display</t>
  </si>
  <si>
    <t>Switch</t>
  </si>
  <si>
    <t>ODO, TRIP, FUEL, B+ Voltage, DTC</t>
  </si>
  <si>
    <t>Power</t>
  </si>
  <si>
    <t>ODO</t>
  </si>
  <si>
    <t>TRIP</t>
  </si>
  <si>
    <t>FUEL Guage</t>
  </si>
  <si>
    <t>B+ Voltage</t>
  </si>
  <si>
    <t>Handling WAKEUP</t>
  </si>
  <si>
    <t>Vehicle Total Dist.</t>
  </si>
  <si>
    <t>Trip Dist.</t>
  </si>
  <si>
    <t>Remaining Fuel</t>
  </si>
  <si>
    <t>Battery Voltage</t>
  </si>
  <si>
    <t>Sl No.</t>
  </si>
  <si>
    <t>LFW</t>
  </si>
  <si>
    <t>High Coolant Temperature</t>
  </si>
  <si>
    <t>Green</t>
  </si>
  <si>
    <t>Yellow</t>
  </si>
  <si>
    <t>Red</t>
  </si>
  <si>
    <t>Color</t>
  </si>
  <si>
    <t>Turn Left</t>
  </si>
  <si>
    <t>Turn Right</t>
  </si>
  <si>
    <t>Fog Lamp</t>
  </si>
  <si>
    <t>Front Lamp</t>
  </si>
  <si>
    <t>Brake Fail</t>
  </si>
  <si>
    <t>Seat Belt</t>
  </si>
  <si>
    <t>5V</t>
  </si>
  <si>
    <t>I</t>
  </si>
  <si>
    <t>10mA</t>
  </si>
  <si>
    <t>R</t>
  </si>
  <si>
    <t>470 ohm</t>
  </si>
  <si>
    <t>Vcc</t>
  </si>
  <si>
    <t>MSB</t>
  </si>
  <si>
    <t>LSB</t>
  </si>
  <si>
    <t>Q0</t>
  </si>
  <si>
    <t>Q1</t>
  </si>
  <si>
    <t>Q2</t>
  </si>
  <si>
    <t>Q3</t>
  </si>
  <si>
    <t>Q4</t>
  </si>
  <si>
    <t>Q5</t>
  </si>
  <si>
    <t>Q6</t>
  </si>
  <si>
    <t>Q7</t>
  </si>
  <si>
    <t>BINARY</t>
  </si>
  <si>
    <t>HEX</t>
  </si>
  <si>
    <t>1(B+)</t>
  </si>
  <si>
    <t>20(B-)</t>
  </si>
  <si>
    <t>2(TL-AH)</t>
  </si>
  <si>
    <t>3(TR-AH)</t>
  </si>
  <si>
    <t>4(FOG-AH)</t>
  </si>
  <si>
    <t>5(FRT-AH)</t>
  </si>
  <si>
    <t>6(NC)</t>
  </si>
  <si>
    <t>7(NC)</t>
  </si>
  <si>
    <t>8(NC)</t>
  </si>
  <si>
    <t>9(NC)</t>
  </si>
  <si>
    <t>10(NC)</t>
  </si>
  <si>
    <t>11(BF-AL)</t>
  </si>
  <si>
    <t>12(LFW-AL)</t>
  </si>
  <si>
    <t>13(SB-AL)</t>
  </si>
  <si>
    <t>14(HTW-AL)</t>
  </si>
  <si>
    <t>15(NC)</t>
  </si>
  <si>
    <t>16(NC)</t>
  </si>
  <si>
    <t>19(NC)</t>
  </si>
  <si>
    <t>18(NC)</t>
  </si>
  <si>
    <t>17(NC)</t>
  </si>
  <si>
    <t>B+</t>
  </si>
  <si>
    <t>12V</t>
  </si>
  <si>
    <t>R1</t>
  </si>
  <si>
    <t>R2</t>
  </si>
  <si>
    <t>R3</t>
  </si>
  <si>
    <t>SINK_CU</t>
  </si>
  <si>
    <t>PIN_VGE</t>
  </si>
  <si>
    <t>5 V</t>
  </si>
  <si>
    <t>4 mA</t>
  </si>
  <si>
    <t>(12R2/(R1+R2))</t>
  </si>
  <si>
    <t>=</t>
  </si>
  <si>
    <t>12R2-5R2=5R1</t>
  </si>
  <si>
    <t>7R2=5R1</t>
  </si>
  <si>
    <t>A-Z</t>
  </si>
  <si>
    <t>B</t>
  </si>
  <si>
    <t>A</t>
  </si>
  <si>
    <t>ASCII DECIMAL</t>
  </si>
  <si>
    <t>ASCII HEX</t>
  </si>
  <si>
    <t>ASCII BINARY</t>
  </si>
  <si>
    <t>L</t>
  </si>
  <si>
    <t>T</t>
  </si>
  <si>
    <t>O</t>
  </si>
  <si>
    <t>N</t>
  </si>
  <si>
    <t>C</t>
  </si>
  <si>
    <t>S</t>
  </si>
  <si>
    <t>Df</t>
  </si>
  <si>
    <t>S0</t>
  </si>
  <si>
    <t>S1</t>
  </si>
  <si>
    <t>S2</t>
  </si>
  <si>
    <t>S3</t>
  </si>
  <si>
    <t>S4</t>
  </si>
  <si>
    <t>0ms</t>
  </si>
  <si>
    <t>10ms</t>
  </si>
  <si>
    <t>20ms</t>
  </si>
  <si>
    <t>30ms</t>
  </si>
  <si>
    <t>40ms</t>
  </si>
  <si>
    <t>Chat_Rom</t>
  </si>
  <si>
    <t>P1</t>
  </si>
  <si>
    <t>50ms</t>
  </si>
  <si>
    <t>CRD</t>
  </si>
  <si>
    <t>Ex. AH</t>
  </si>
  <si>
    <t>Rp</t>
  </si>
  <si>
    <t>SenRes</t>
  </si>
  <si>
    <t>V1</t>
  </si>
  <si>
    <t>V</t>
  </si>
  <si>
    <t>Kohm</t>
  </si>
  <si>
    <t>ohm</t>
  </si>
  <si>
    <t>V2</t>
  </si>
  <si>
    <t>Tank</t>
  </si>
  <si>
    <t>litres</t>
  </si>
  <si>
    <t>ADC_Cnt</t>
  </si>
  <si>
    <t>Level</t>
  </si>
  <si>
    <t>Empty</t>
  </si>
  <si>
    <t>1/4</t>
  </si>
  <si>
    <t>1/2</t>
  </si>
  <si>
    <t>3/4</t>
  </si>
  <si>
    <t>Full</t>
  </si>
  <si>
    <t>Lit</t>
  </si>
  <si>
    <t>ADC</t>
  </si>
  <si>
    <t>X1</t>
  </si>
  <si>
    <t>X2</t>
  </si>
  <si>
    <t>Y1</t>
  </si>
  <si>
    <t>Y2</t>
  </si>
  <si>
    <t>X</t>
  </si>
  <si>
    <t>Angle(Deg)</t>
  </si>
  <si>
    <t>BAR1</t>
  </si>
  <si>
    <t>BAR2</t>
  </si>
  <si>
    <t>BAR3</t>
  </si>
  <si>
    <t>BAR4</t>
  </si>
  <si>
    <t>BAR5</t>
  </si>
  <si>
    <t>BAR ON Res.</t>
  </si>
  <si>
    <t>BAR OFF Res.</t>
  </si>
  <si>
    <t>50 ohm</t>
  </si>
  <si>
    <t>25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</si>
</sst>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1" fillId="3" borderId="0" xfId="0" applyFont="1" applyFill="1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0" quotePrefix="1" applyFont="1"/>
    <xf numFmtId="0" fontId="0" fillId="0" borderId="0" xfId="0" applyFont="1"/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0" xfId="0" applyFont="1" applyFill="1" applyBorder="1"/>
    <xf numFmtId="16" fontId="0" fillId="0" borderId="0" xfId="0" quotePrefix="1" applyNumberFormat="1"/>
    <xf numFmtId="0" fontId="0" fillId="0" borderId="0" xfId="0" quotePrefix="1"/>
    <xf numFmtId="0" fontId="0" fillId="0" borderId="1" xfId="0" applyBorder="1"/>
    <xf numFmtId="0" fontId="1" fillId="4" borderId="0" xfId="0" applyFont="1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</xdr:colOff>
      <xdr:row>6</xdr:row>
      <xdr:rowOff>95250</xdr:rowOff>
    </xdr:from>
    <xdr:to>
      <xdr:col>15</xdr:col>
      <xdr:colOff>495300</xdr:colOff>
      <xdr:row>12</xdr:row>
      <xdr:rowOff>79718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5C3894-6917-400A-923F-DB7413227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50" y="1238250"/>
          <a:ext cx="2838450" cy="1127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14"/>
  <sheetViews>
    <sheetView workbookViewId="0">
      <selection activeCell="D6" sqref="B6:D6"/>
    </sheetView>
  </sheetViews>
  <sheetFormatPr defaultRowHeight="15" x14ac:dyDescent="0.25"/>
  <cols>
    <col min="3" max="3" width="13.5703125" customWidth="1"/>
    <col min="4" max="4" width="32.7109375" customWidth="1"/>
  </cols>
  <sheetData>
    <row r="4" spans="2:7" x14ac:dyDescent="0.25">
      <c r="B4" s="4" t="s">
        <v>0</v>
      </c>
      <c r="C4" s="4" t="s">
        <v>1</v>
      </c>
      <c r="D4" s="4"/>
      <c r="E4" s="2"/>
      <c r="F4" s="2"/>
      <c r="G4" s="2"/>
    </row>
    <row r="6" spans="2:7" x14ac:dyDescent="0.25">
      <c r="B6" s="8" t="s">
        <v>2</v>
      </c>
      <c r="C6" s="8" t="s">
        <v>3</v>
      </c>
      <c r="D6" s="8" t="s">
        <v>4</v>
      </c>
    </row>
    <row r="7" spans="2:7" x14ac:dyDescent="0.25">
      <c r="B7" s="3">
        <v>1</v>
      </c>
      <c r="C7" s="3" t="s">
        <v>5</v>
      </c>
      <c r="D7" s="3" t="s">
        <v>6</v>
      </c>
      <c r="E7" s="5"/>
      <c r="F7" s="5"/>
    </row>
    <row r="8" spans="2:7" x14ac:dyDescent="0.25">
      <c r="B8" s="3">
        <v>2</v>
      </c>
      <c r="C8" s="3" t="s">
        <v>7</v>
      </c>
      <c r="D8" s="3" t="s">
        <v>9</v>
      </c>
      <c r="E8" s="5"/>
      <c r="F8" s="5"/>
    </row>
    <row r="9" spans="2:7" x14ac:dyDescent="0.25">
      <c r="B9" s="3">
        <v>3</v>
      </c>
      <c r="C9" s="3" t="s">
        <v>8</v>
      </c>
      <c r="D9" s="3"/>
      <c r="E9" s="5"/>
      <c r="F9" s="5"/>
    </row>
    <row r="10" spans="2:7" x14ac:dyDescent="0.25">
      <c r="B10" s="3">
        <v>4</v>
      </c>
      <c r="C10" s="3" t="s">
        <v>10</v>
      </c>
      <c r="D10" s="3" t="s">
        <v>15</v>
      </c>
      <c r="E10" s="5"/>
    </row>
    <row r="11" spans="2:7" x14ac:dyDescent="0.25">
      <c r="B11" s="3">
        <v>5</v>
      </c>
      <c r="C11" s="3" t="s">
        <v>11</v>
      </c>
      <c r="D11" s="3" t="s">
        <v>16</v>
      </c>
      <c r="E11" s="5"/>
    </row>
    <row r="12" spans="2:7" x14ac:dyDescent="0.25">
      <c r="B12" s="3">
        <v>6</v>
      </c>
      <c r="C12" s="3" t="s">
        <v>12</v>
      </c>
      <c r="D12" s="3" t="s">
        <v>17</v>
      </c>
      <c r="E12" s="5"/>
    </row>
    <row r="13" spans="2:7" x14ac:dyDescent="0.25">
      <c r="B13" s="3">
        <v>7</v>
      </c>
      <c r="C13" s="3" t="s">
        <v>13</v>
      </c>
      <c r="D13" s="3" t="s">
        <v>18</v>
      </c>
      <c r="E13" s="5"/>
    </row>
    <row r="14" spans="2:7" x14ac:dyDescent="0.25">
      <c r="B14" s="3">
        <v>8</v>
      </c>
      <c r="C14" s="3" t="s">
        <v>14</v>
      </c>
      <c r="D14" s="3" t="s">
        <v>19</v>
      </c>
      <c r="E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8092-8AE0-4F32-8EEC-218EDA6B256A}">
  <dimension ref="B3:K15"/>
  <sheetViews>
    <sheetView workbookViewId="0">
      <selection activeCell="K15" sqref="J6:K15"/>
    </sheetView>
  </sheetViews>
  <sheetFormatPr defaultRowHeight="15" x14ac:dyDescent="0.25"/>
  <cols>
    <col min="3" max="3" width="26.85546875" customWidth="1"/>
    <col min="10" max="10" width="12.42578125" customWidth="1"/>
    <col min="11" max="11" width="12.28515625" customWidth="1"/>
  </cols>
  <sheetData>
    <row r="3" spans="2:11" ht="15.75" x14ac:dyDescent="0.25">
      <c r="B3" s="9" t="s">
        <v>20</v>
      </c>
      <c r="C3" s="9" t="s">
        <v>5</v>
      </c>
      <c r="D3" s="9" t="s">
        <v>26</v>
      </c>
    </row>
    <row r="4" spans="2:11" x14ac:dyDescent="0.25">
      <c r="B4" s="6">
        <v>1</v>
      </c>
      <c r="C4" s="6" t="s">
        <v>27</v>
      </c>
      <c r="D4" s="6" t="s">
        <v>23</v>
      </c>
    </row>
    <row r="5" spans="2:11" x14ac:dyDescent="0.25">
      <c r="B5" s="6">
        <v>2</v>
      </c>
      <c r="C5" s="6" t="s">
        <v>28</v>
      </c>
      <c r="D5" s="6" t="s">
        <v>23</v>
      </c>
      <c r="F5" s="6" t="s">
        <v>38</v>
      </c>
      <c r="G5" s="7" t="s">
        <v>33</v>
      </c>
    </row>
    <row r="6" spans="2:11" x14ac:dyDescent="0.25">
      <c r="B6" s="6">
        <v>3</v>
      </c>
      <c r="C6" s="6" t="s">
        <v>29</v>
      </c>
      <c r="D6" s="6" t="s">
        <v>23</v>
      </c>
      <c r="F6" s="6" t="s">
        <v>34</v>
      </c>
      <c r="G6" s="7" t="s">
        <v>35</v>
      </c>
      <c r="J6" s="6" t="s">
        <v>51</v>
      </c>
      <c r="K6" s="6" t="s">
        <v>62</v>
      </c>
    </row>
    <row r="7" spans="2:11" x14ac:dyDescent="0.25">
      <c r="B7" s="6">
        <v>4</v>
      </c>
      <c r="C7" s="6" t="s">
        <v>30</v>
      </c>
      <c r="D7" s="6" t="s">
        <v>24</v>
      </c>
      <c r="F7" s="6" t="s">
        <v>36</v>
      </c>
      <c r="G7" s="6" t="s">
        <v>37</v>
      </c>
      <c r="J7" s="6" t="s">
        <v>53</v>
      </c>
      <c r="K7" s="6" t="s">
        <v>63</v>
      </c>
    </row>
    <row r="8" spans="2:11" x14ac:dyDescent="0.25">
      <c r="B8" s="6">
        <v>5</v>
      </c>
      <c r="C8" s="6" t="s">
        <v>31</v>
      </c>
      <c r="D8" s="6" t="s">
        <v>25</v>
      </c>
      <c r="J8" s="6" t="s">
        <v>54</v>
      </c>
      <c r="K8" s="6" t="s">
        <v>64</v>
      </c>
    </row>
    <row r="9" spans="2:11" x14ac:dyDescent="0.25">
      <c r="B9" s="6">
        <v>6</v>
      </c>
      <c r="C9" s="6" t="s">
        <v>21</v>
      </c>
      <c r="D9" s="6" t="s">
        <v>24</v>
      </c>
      <c r="J9" s="6" t="s">
        <v>55</v>
      </c>
      <c r="K9" s="6" t="s">
        <v>65</v>
      </c>
    </row>
    <row r="10" spans="2:11" x14ac:dyDescent="0.25">
      <c r="B10" s="6">
        <v>7</v>
      </c>
      <c r="C10" s="6" t="s">
        <v>32</v>
      </c>
      <c r="D10" s="6" t="s">
        <v>25</v>
      </c>
      <c r="J10" s="6" t="s">
        <v>56</v>
      </c>
      <c r="K10" s="6" t="s">
        <v>66</v>
      </c>
    </row>
    <row r="11" spans="2:11" x14ac:dyDescent="0.25">
      <c r="B11" s="6">
        <v>8</v>
      </c>
      <c r="C11" s="6" t="s">
        <v>22</v>
      </c>
      <c r="D11" s="6" t="s">
        <v>25</v>
      </c>
      <c r="J11" s="6" t="s">
        <v>57</v>
      </c>
      <c r="K11" s="6" t="s">
        <v>67</v>
      </c>
    </row>
    <row r="12" spans="2:11" x14ac:dyDescent="0.25">
      <c r="B12" s="1"/>
      <c r="C12" s="1"/>
      <c r="J12" s="6" t="s">
        <v>58</v>
      </c>
      <c r="K12" s="6" t="s">
        <v>70</v>
      </c>
    </row>
    <row r="13" spans="2:11" x14ac:dyDescent="0.25">
      <c r="J13" s="6" t="s">
        <v>59</v>
      </c>
      <c r="K13" s="6" t="s">
        <v>69</v>
      </c>
    </row>
    <row r="14" spans="2:11" x14ac:dyDescent="0.25">
      <c r="J14" s="6" t="s">
        <v>60</v>
      </c>
      <c r="K14" s="6" t="s">
        <v>68</v>
      </c>
    </row>
    <row r="15" spans="2:11" x14ac:dyDescent="0.25">
      <c r="J15" s="6" t="s">
        <v>61</v>
      </c>
      <c r="K15" s="6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0214-8B1F-4264-ADE5-2C3745994177}">
  <dimension ref="D6:N14"/>
  <sheetViews>
    <sheetView workbookViewId="0">
      <selection activeCell="G14" sqref="G14"/>
    </sheetView>
  </sheetViews>
  <sheetFormatPr defaultRowHeight="15" x14ac:dyDescent="0.25"/>
  <sheetData>
    <row r="6" spans="4:14" x14ac:dyDescent="0.25">
      <c r="D6" s="1"/>
      <c r="E6" s="6" t="s">
        <v>39</v>
      </c>
      <c r="F6" s="6"/>
      <c r="G6" s="6"/>
      <c r="H6" s="6"/>
      <c r="I6" s="6"/>
      <c r="J6" s="6"/>
      <c r="K6" s="6"/>
      <c r="L6" s="6" t="s">
        <v>40</v>
      </c>
      <c r="M6" s="6"/>
      <c r="N6" s="6"/>
    </row>
    <row r="7" spans="4:14" x14ac:dyDescent="0.25">
      <c r="D7" s="1"/>
      <c r="E7" s="6" t="s">
        <v>41</v>
      </c>
      <c r="F7" s="6" t="s">
        <v>42</v>
      </c>
      <c r="G7" s="6" t="s">
        <v>43</v>
      </c>
      <c r="H7" s="6" t="s">
        <v>44</v>
      </c>
      <c r="I7" s="6" t="s">
        <v>45</v>
      </c>
      <c r="J7" s="6" t="s">
        <v>46</v>
      </c>
      <c r="K7" s="6" t="s">
        <v>47</v>
      </c>
      <c r="L7" s="6" t="s">
        <v>48</v>
      </c>
      <c r="M7" s="6" t="s">
        <v>49</v>
      </c>
      <c r="N7" s="6" t="s">
        <v>50</v>
      </c>
    </row>
    <row r="8" spans="4:14" x14ac:dyDescent="0.25">
      <c r="D8" s="1"/>
      <c r="E8" s="3">
        <v>0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 t="str">
        <f>(E8&amp;F8&amp;G8&amp;H8&amp;I8&amp;J8&amp;K8&amp;L8)</f>
        <v>01111111</v>
      </c>
      <c r="N8" s="3" t="str">
        <f>BIN2HEX(M8)</f>
        <v>7F</v>
      </c>
    </row>
    <row r="9" spans="4:14" x14ac:dyDescent="0.25">
      <c r="E9" s="3">
        <v>0</v>
      </c>
      <c r="F9" s="3">
        <v>0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 t="str">
        <f t="shared" ref="M9:M12" si="0">(E9&amp;F9&amp;G9&amp;H9&amp;I9&amp;J9&amp;K9&amp;L9)</f>
        <v>00111111</v>
      </c>
      <c r="N9" s="3" t="str">
        <f t="shared" ref="N9:N10" si="1">BIN2HEX(M9)</f>
        <v>3F</v>
      </c>
    </row>
    <row r="10" spans="4:14" x14ac:dyDescent="0.25">
      <c r="E10" s="3">
        <v>0</v>
      </c>
      <c r="F10" s="3">
        <v>0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0</v>
      </c>
      <c r="M10" s="3" t="str">
        <f t="shared" si="0"/>
        <v>00111110</v>
      </c>
      <c r="N10" s="3" t="str">
        <f t="shared" si="1"/>
        <v>3E</v>
      </c>
    </row>
    <row r="11" spans="4:14" x14ac:dyDescent="0.25">
      <c r="E11" s="1"/>
      <c r="F11" s="1"/>
      <c r="G11" s="1"/>
      <c r="H11" s="1"/>
      <c r="I11" s="1"/>
      <c r="J11" s="1"/>
      <c r="K11" s="1"/>
      <c r="L11" s="1"/>
      <c r="M11" s="1" t="str">
        <f t="shared" si="0"/>
        <v/>
      </c>
      <c r="N11" s="1"/>
    </row>
    <row r="12" spans="4:14" x14ac:dyDescent="0.25">
      <c r="E12" s="1"/>
      <c r="F12" s="1"/>
      <c r="G12" s="1"/>
      <c r="H12" s="1"/>
      <c r="I12" s="1"/>
      <c r="J12" s="1"/>
      <c r="K12" s="1"/>
      <c r="L12" s="1"/>
      <c r="M12" s="1" t="str">
        <f t="shared" si="0"/>
        <v/>
      </c>
      <c r="N12" s="1"/>
    </row>
    <row r="13" spans="4:14" x14ac:dyDescent="0.25">
      <c r="E13" s="1"/>
      <c r="F13" s="1"/>
      <c r="G13" s="1"/>
      <c r="H13" s="1"/>
      <c r="I13" s="1"/>
      <c r="J13" s="1"/>
      <c r="K13" s="1"/>
      <c r="L13" s="1"/>
      <c r="M13" s="1" t="str">
        <f>(E13&amp;F13&amp;G13&amp;H13&amp;I13&amp;J13&amp;K13&amp;L13)</f>
        <v/>
      </c>
      <c r="N13" s="1"/>
    </row>
    <row r="14" spans="4:14" x14ac:dyDescent="0.25">
      <c r="E14" s="1"/>
      <c r="F14" s="1"/>
      <c r="G14" s="1"/>
      <c r="H14" s="1"/>
      <c r="I14" s="1"/>
      <c r="J14" s="1"/>
      <c r="K14" s="1"/>
      <c r="L14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7461-48D1-4DAE-B02C-37BE4CE17ECA}">
  <dimension ref="D6:J12"/>
  <sheetViews>
    <sheetView workbookViewId="0">
      <selection activeCell="F16" sqref="F16"/>
    </sheetView>
  </sheetViews>
  <sheetFormatPr defaultRowHeight="15" x14ac:dyDescent="0.25"/>
  <sheetData>
    <row r="6" spans="4:10" x14ac:dyDescent="0.25">
      <c r="D6" s="6" t="s">
        <v>71</v>
      </c>
      <c r="E6" s="6" t="s">
        <v>72</v>
      </c>
    </row>
    <row r="7" spans="4:10" x14ac:dyDescent="0.25">
      <c r="D7" s="6" t="s">
        <v>73</v>
      </c>
      <c r="E7" s="6">
        <v>2200</v>
      </c>
    </row>
    <row r="8" spans="4:10" x14ac:dyDescent="0.25">
      <c r="D8" s="6" t="s">
        <v>74</v>
      </c>
      <c r="E8" s="6">
        <f>INT((5*E7)/7)</f>
        <v>1571</v>
      </c>
      <c r="G8" s="10" t="s">
        <v>80</v>
      </c>
      <c r="H8" s="2"/>
      <c r="I8" s="11" t="s">
        <v>81</v>
      </c>
      <c r="J8" s="2">
        <v>5</v>
      </c>
    </row>
    <row r="9" spans="4:10" x14ac:dyDescent="0.25">
      <c r="D9" s="6" t="s">
        <v>75</v>
      </c>
      <c r="E9" s="6">
        <v>1250</v>
      </c>
      <c r="G9" s="2"/>
      <c r="H9" s="2"/>
      <c r="I9" s="2"/>
      <c r="J9" s="2"/>
    </row>
    <row r="10" spans="4:10" x14ac:dyDescent="0.25">
      <c r="D10" s="6" t="s">
        <v>76</v>
      </c>
      <c r="E10" s="6" t="s">
        <v>79</v>
      </c>
      <c r="G10" s="2"/>
      <c r="H10" s="2"/>
      <c r="I10" s="2"/>
      <c r="J10" s="2"/>
    </row>
    <row r="11" spans="4:10" x14ac:dyDescent="0.25">
      <c r="D11" s="6" t="s">
        <v>77</v>
      </c>
      <c r="E11" s="6" t="s">
        <v>78</v>
      </c>
      <c r="G11" s="2"/>
      <c r="H11" s="2" t="s">
        <v>82</v>
      </c>
      <c r="I11" s="2"/>
      <c r="J11" s="2"/>
    </row>
    <row r="12" spans="4:10" x14ac:dyDescent="0.25">
      <c r="G12" s="2"/>
      <c r="H12" s="2" t="s">
        <v>83</v>
      </c>
      <c r="I12" s="2"/>
      <c r="J1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3DDF-8390-4570-886D-5328783EF78C}">
  <dimension ref="C4:R30"/>
  <sheetViews>
    <sheetView topLeftCell="B16" workbookViewId="0">
      <selection activeCell="I5" sqref="I5"/>
    </sheetView>
  </sheetViews>
  <sheetFormatPr defaultRowHeight="15" x14ac:dyDescent="0.25"/>
  <cols>
    <col min="4" max="4" width="20.85546875" customWidth="1"/>
    <col min="5" max="5" width="12.140625" customWidth="1"/>
    <col min="6" max="6" width="14.42578125" customWidth="1"/>
  </cols>
  <sheetData>
    <row r="4" spans="3:18" x14ac:dyDescent="0.25">
      <c r="C4" s="3" t="s">
        <v>84</v>
      </c>
      <c r="D4" s="3" t="s">
        <v>87</v>
      </c>
      <c r="E4" s="3" t="s">
        <v>88</v>
      </c>
      <c r="F4" s="12" t="s">
        <v>89</v>
      </c>
    </row>
    <row r="5" spans="3:18" x14ac:dyDescent="0.25">
      <c r="C5" s="3" t="str">
        <f>CHAR(ROW(C65))</f>
        <v>A</v>
      </c>
      <c r="D5" s="3">
        <v>65</v>
      </c>
      <c r="E5" s="3" t="str">
        <f>DEC2HEX(D5)</f>
        <v>41</v>
      </c>
      <c r="F5" s="3" t="str">
        <f>(HEX2BIN(E5))</f>
        <v>1000001</v>
      </c>
      <c r="I5" s="13" t="s">
        <v>86</v>
      </c>
      <c r="J5" s="13" t="s">
        <v>90</v>
      </c>
      <c r="K5" s="13" t="s">
        <v>85</v>
      </c>
      <c r="L5" s="13" t="s">
        <v>91</v>
      </c>
      <c r="M5" s="13" t="s">
        <v>36</v>
      </c>
      <c r="N5" s="13" t="s">
        <v>92</v>
      </c>
      <c r="O5" s="13" t="s">
        <v>93</v>
      </c>
      <c r="P5" s="13" t="s">
        <v>34</v>
      </c>
      <c r="Q5" s="13" t="s">
        <v>94</v>
      </c>
      <c r="R5" s="13" t="s">
        <v>95</v>
      </c>
    </row>
    <row r="6" spans="3:18" x14ac:dyDescent="0.25">
      <c r="C6" s="3" t="str">
        <f t="shared" ref="C6:C29" si="0">CHAR(ROW(C66))</f>
        <v>B</v>
      </c>
      <c r="D6" s="3">
        <v>66</v>
      </c>
      <c r="E6" s="3" t="str">
        <f t="shared" ref="E6:E30" si="1">DEC2HEX(D6)</f>
        <v>42</v>
      </c>
      <c r="F6" s="3" t="str">
        <f t="shared" ref="F6:F30" si="2">(HEX2BIN(E6))</f>
        <v>1000010</v>
      </c>
      <c r="I6" s="1" t="str">
        <f>VLOOKUP(I5,$C$5:$F$30,4,FALSE)</f>
        <v>1000001</v>
      </c>
      <c r="J6" s="1" t="str">
        <f t="shared" ref="J6:R6" si="3">VLOOKUP(J5,$C$5:$F$30,4,FALSE)</f>
        <v>1001100</v>
      </c>
      <c r="K6" s="1" t="str">
        <f t="shared" si="3"/>
        <v>1000010</v>
      </c>
      <c r="L6" s="1" t="str">
        <f t="shared" si="3"/>
        <v>1010100</v>
      </c>
      <c r="M6" s="1" t="str">
        <f t="shared" si="3"/>
        <v>1010010</v>
      </c>
      <c r="N6" s="1" t="str">
        <f t="shared" si="3"/>
        <v>1001111</v>
      </c>
      <c r="O6" s="1" t="str">
        <f t="shared" si="3"/>
        <v>1001110</v>
      </c>
      <c r="P6" s="1" t="str">
        <f t="shared" si="3"/>
        <v>1001001</v>
      </c>
      <c r="Q6" s="1" t="str">
        <f t="shared" si="3"/>
        <v>1000011</v>
      </c>
      <c r="R6" s="1" t="str">
        <f t="shared" si="3"/>
        <v>1010011</v>
      </c>
    </row>
    <row r="7" spans="3:18" x14ac:dyDescent="0.25">
      <c r="C7" s="3" t="str">
        <f t="shared" si="0"/>
        <v>C</v>
      </c>
      <c r="D7" s="3">
        <v>67</v>
      </c>
      <c r="E7" s="3" t="str">
        <f t="shared" si="1"/>
        <v>43</v>
      </c>
      <c r="F7" s="3" t="str">
        <f t="shared" si="2"/>
        <v>1000011</v>
      </c>
    </row>
    <row r="8" spans="3:18" x14ac:dyDescent="0.25">
      <c r="C8" s="3" t="str">
        <f t="shared" si="0"/>
        <v>D</v>
      </c>
      <c r="D8" s="3">
        <v>68</v>
      </c>
      <c r="E8" s="3" t="str">
        <f t="shared" si="1"/>
        <v>44</v>
      </c>
      <c r="F8" s="3" t="str">
        <f t="shared" si="2"/>
        <v>1000100</v>
      </c>
    </row>
    <row r="9" spans="3:18" x14ac:dyDescent="0.25">
      <c r="C9" s="3" t="str">
        <f t="shared" si="0"/>
        <v>E</v>
      </c>
      <c r="D9" s="3">
        <v>69</v>
      </c>
      <c r="E9" s="3" t="str">
        <f t="shared" si="1"/>
        <v>45</v>
      </c>
      <c r="F9" s="3" t="str">
        <f t="shared" si="2"/>
        <v>1000101</v>
      </c>
    </row>
    <row r="10" spans="3:18" x14ac:dyDescent="0.25">
      <c r="C10" s="3" t="str">
        <f t="shared" si="0"/>
        <v>F</v>
      </c>
      <c r="D10" s="3">
        <v>70</v>
      </c>
      <c r="E10" s="3" t="str">
        <f t="shared" si="1"/>
        <v>46</v>
      </c>
      <c r="F10" s="3" t="str">
        <f t="shared" si="2"/>
        <v>1000110</v>
      </c>
    </row>
    <row r="11" spans="3:18" x14ac:dyDescent="0.25">
      <c r="C11" s="3" t="str">
        <f t="shared" si="0"/>
        <v>G</v>
      </c>
      <c r="D11" s="3">
        <v>71</v>
      </c>
      <c r="E11" s="3" t="str">
        <f t="shared" si="1"/>
        <v>47</v>
      </c>
      <c r="F11" s="3" t="str">
        <f t="shared" si="2"/>
        <v>1000111</v>
      </c>
    </row>
    <row r="12" spans="3:18" x14ac:dyDescent="0.25">
      <c r="C12" s="3" t="str">
        <f t="shared" si="0"/>
        <v>H</v>
      </c>
      <c r="D12" s="3">
        <v>72</v>
      </c>
      <c r="E12" s="3" t="str">
        <f t="shared" si="1"/>
        <v>48</v>
      </c>
      <c r="F12" s="3" t="str">
        <f t="shared" si="2"/>
        <v>1001000</v>
      </c>
      <c r="I12">
        <v>111000</v>
      </c>
    </row>
    <row r="13" spans="3:18" x14ac:dyDescent="0.25">
      <c r="C13" s="3" t="str">
        <f t="shared" si="0"/>
        <v>I</v>
      </c>
      <c r="D13" s="3">
        <v>73</v>
      </c>
      <c r="E13" s="3" t="str">
        <f t="shared" si="1"/>
        <v>49</v>
      </c>
      <c r="F13" s="3" t="str">
        <f t="shared" si="2"/>
        <v>1001001</v>
      </c>
    </row>
    <row r="14" spans="3:18" x14ac:dyDescent="0.25">
      <c r="C14" s="3" t="str">
        <f t="shared" si="0"/>
        <v>J</v>
      </c>
      <c r="D14" s="3">
        <v>74</v>
      </c>
      <c r="E14" s="3" t="str">
        <f t="shared" si="1"/>
        <v>4A</v>
      </c>
      <c r="F14" s="3" t="str">
        <f t="shared" si="2"/>
        <v>1001010</v>
      </c>
    </row>
    <row r="15" spans="3:18" x14ac:dyDescent="0.25">
      <c r="C15" s="3" t="str">
        <f t="shared" si="0"/>
        <v>K</v>
      </c>
      <c r="D15" s="3">
        <v>75</v>
      </c>
      <c r="E15" s="3" t="str">
        <f t="shared" si="1"/>
        <v>4B</v>
      </c>
      <c r="F15" s="3" t="str">
        <f t="shared" si="2"/>
        <v>1001011</v>
      </c>
    </row>
    <row r="16" spans="3:18" x14ac:dyDescent="0.25">
      <c r="C16" s="3" t="str">
        <f t="shared" si="0"/>
        <v>L</v>
      </c>
      <c r="D16" s="3">
        <v>76</v>
      </c>
      <c r="E16" s="3" t="str">
        <f t="shared" si="1"/>
        <v>4C</v>
      </c>
      <c r="F16" s="3" t="str">
        <f t="shared" si="2"/>
        <v>1001100</v>
      </c>
    </row>
    <row r="17" spans="3:6" x14ac:dyDescent="0.25">
      <c r="C17" s="3" t="str">
        <f t="shared" si="0"/>
        <v>M</v>
      </c>
      <c r="D17" s="3">
        <v>77</v>
      </c>
      <c r="E17" s="3" t="str">
        <f t="shared" si="1"/>
        <v>4D</v>
      </c>
      <c r="F17" s="3" t="str">
        <f t="shared" si="2"/>
        <v>1001101</v>
      </c>
    </row>
    <row r="18" spans="3:6" x14ac:dyDescent="0.25">
      <c r="C18" s="3" t="str">
        <f t="shared" si="0"/>
        <v>N</v>
      </c>
      <c r="D18" s="3">
        <v>78</v>
      </c>
      <c r="E18" s="3" t="str">
        <f t="shared" si="1"/>
        <v>4E</v>
      </c>
      <c r="F18" s="3" t="str">
        <f t="shared" si="2"/>
        <v>1001110</v>
      </c>
    </row>
    <row r="19" spans="3:6" x14ac:dyDescent="0.25">
      <c r="C19" s="3" t="str">
        <f t="shared" si="0"/>
        <v>O</v>
      </c>
      <c r="D19" s="3">
        <v>79</v>
      </c>
      <c r="E19" s="3" t="str">
        <f t="shared" si="1"/>
        <v>4F</v>
      </c>
      <c r="F19" s="3" t="str">
        <f t="shared" si="2"/>
        <v>1001111</v>
      </c>
    </row>
    <row r="20" spans="3:6" x14ac:dyDescent="0.25">
      <c r="C20" s="3" t="str">
        <f t="shared" si="0"/>
        <v>P</v>
      </c>
      <c r="D20" s="3">
        <v>80</v>
      </c>
      <c r="E20" s="3" t="str">
        <f t="shared" si="1"/>
        <v>50</v>
      </c>
      <c r="F20" s="3" t="str">
        <f t="shared" si="2"/>
        <v>1010000</v>
      </c>
    </row>
    <row r="21" spans="3:6" x14ac:dyDescent="0.25">
      <c r="C21" s="3" t="str">
        <f t="shared" si="0"/>
        <v>Q</v>
      </c>
      <c r="D21" s="3">
        <v>81</v>
      </c>
      <c r="E21" s="3" t="str">
        <f t="shared" si="1"/>
        <v>51</v>
      </c>
      <c r="F21" s="3" t="str">
        <f t="shared" si="2"/>
        <v>1010001</v>
      </c>
    </row>
    <row r="22" spans="3:6" x14ac:dyDescent="0.25">
      <c r="C22" s="3" t="str">
        <f t="shared" si="0"/>
        <v>R</v>
      </c>
      <c r="D22" s="3">
        <v>82</v>
      </c>
      <c r="E22" s="3" t="str">
        <f t="shared" si="1"/>
        <v>52</v>
      </c>
      <c r="F22" s="3" t="str">
        <f t="shared" si="2"/>
        <v>1010010</v>
      </c>
    </row>
    <row r="23" spans="3:6" x14ac:dyDescent="0.25">
      <c r="C23" s="3" t="str">
        <f t="shared" si="0"/>
        <v>S</v>
      </c>
      <c r="D23" s="3">
        <v>83</v>
      </c>
      <c r="E23" s="3" t="str">
        <f t="shared" si="1"/>
        <v>53</v>
      </c>
      <c r="F23" s="3" t="str">
        <f t="shared" si="2"/>
        <v>1010011</v>
      </c>
    </row>
    <row r="24" spans="3:6" x14ac:dyDescent="0.25">
      <c r="C24" s="3" t="str">
        <f t="shared" si="0"/>
        <v>T</v>
      </c>
      <c r="D24" s="3">
        <v>84</v>
      </c>
      <c r="E24" s="3" t="str">
        <f t="shared" si="1"/>
        <v>54</v>
      </c>
      <c r="F24" s="3" t="str">
        <f t="shared" si="2"/>
        <v>1010100</v>
      </c>
    </row>
    <row r="25" spans="3:6" x14ac:dyDescent="0.25">
      <c r="C25" s="3" t="str">
        <f t="shared" si="0"/>
        <v>U</v>
      </c>
      <c r="D25" s="3">
        <v>85</v>
      </c>
      <c r="E25" s="3" t="str">
        <f t="shared" si="1"/>
        <v>55</v>
      </c>
      <c r="F25" s="3" t="str">
        <f t="shared" si="2"/>
        <v>1010101</v>
      </c>
    </row>
    <row r="26" spans="3:6" x14ac:dyDescent="0.25">
      <c r="C26" s="3" t="str">
        <f t="shared" si="0"/>
        <v>V</v>
      </c>
      <c r="D26" s="3">
        <v>86</v>
      </c>
      <c r="E26" s="3" t="str">
        <f t="shared" si="1"/>
        <v>56</v>
      </c>
      <c r="F26" s="3" t="str">
        <f t="shared" si="2"/>
        <v>1010110</v>
      </c>
    </row>
    <row r="27" spans="3:6" x14ac:dyDescent="0.25">
      <c r="C27" s="3" t="str">
        <f t="shared" si="0"/>
        <v>W</v>
      </c>
      <c r="D27" s="3">
        <v>87</v>
      </c>
      <c r="E27" s="3" t="str">
        <f t="shared" si="1"/>
        <v>57</v>
      </c>
      <c r="F27" s="3" t="str">
        <f t="shared" si="2"/>
        <v>1010111</v>
      </c>
    </row>
    <row r="28" spans="3:6" x14ac:dyDescent="0.25">
      <c r="C28" s="3" t="str">
        <f t="shared" si="0"/>
        <v>X</v>
      </c>
      <c r="D28" s="3">
        <v>88</v>
      </c>
      <c r="E28" s="3" t="str">
        <f t="shared" si="1"/>
        <v>58</v>
      </c>
      <c r="F28" s="3" t="str">
        <f t="shared" si="2"/>
        <v>1011000</v>
      </c>
    </row>
    <row r="29" spans="3:6" x14ac:dyDescent="0.25">
      <c r="C29" s="3" t="str">
        <f t="shared" si="0"/>
        <v>Y</v>
      </c>
      <c r="D29" s="3">
        <v>89</v>
      </c>
      <c r="E29" s="3" t="str">
        <f t="shared" si="1"/>
        <v>59</v>
      </c>
      <c r="F29" s="3" t="str">
        <f t="shared" si="2"/>
        <v>1011001</v>
      </c>
    </row>
    <row r="30" spans="3:6" x14ac:dyDescent="0.25">
      <c r="C30" s="3" t="str">
        <f>CHAR(ROW(C90))</f>
        <v>Z</v>
      </c>
      <c r="D30" s="3">
        <v>90</v>
      </c>
      <c r="E30" s="3" t="str">
        <f t="shared" si="1"/>
        <v>5A</v>
      </c>
      <c r="F30" s="3" t="str">
        <f t="shared" si="2"/>
        <v>1011010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1D34-44B8-44C1-835B-3AAE849D846C}">
  <dimension ref="C7:J17"/>
  <sheetViews>
    <sheetView workbookViewId="0"/>
  </sheetViews>
  <sheetFormatPr defaultRowHeight="15" x14ac:dyDescent="0.25"/>
  <sheetData>
    <row r="7" spans="3:10" x14ac:dyDescent="0.25">
      <c r="C7" s="2"/>
      <c r="D7" s="2"/>
      <c r="E7" s="2" t="s">
        <v>102</v>
      </c>
      <c r="F7" s="2" t="s">
        <v>103</v>
      </c>
      <c r="G7" s="2" t="s">
        <v>104</v>
      </c>
      <c r="H7" s="2" t="s">
        <v>105</v>
      </c>
      <c r="I7" s="2" t="s">
        <v>106</v>
      </c>
      <c r="J7" s="2" t="s">
        <v>109</v>
      </c>
    </row>
    <row r="8" spans="3:10" x14ac:dyDescent="0.25">
      <c r="C8" s="2"/>
      <c r="D8" s="2"/>
      <c r="E8" s="2"/>
      <c r="F8" s="2"/>
      <c r="G8" s="2"/>
      <c r="H8" s="2"/>
      <c r="I8" s="2"/>
      <c r="J8" s="2"/>
    </row>
    <row r="9" spans="3:10" x14ac:dyDescent="0.25">
      <c r="C9" s="2" t="s">
        <v>108</v>
      </c>
      <c r="D9" s="2" t="s">
        <v>100</v>
      </c>
      <c r="E9" s="6" t="s">
        <v>96</v>
      </c>
      <c r="F9" s="6" t="s">
        <v>97</v>
      </c>
      <c r="G9" s="6" t="s">
        <v>98</v>
      </c>
      <c r="H9" s="6" t="s">
        <v>99</v>
      </c>
      <c r="I9" s="6" t="s">
        <v>100</v>
      </c>
      <c r="J9" s="6" t="s">
        <v>101</v>
      </c>
    </row>
    <row r="10" spans="3:10" x14ac:dyDescent="0.25">
      <c r="C10" s="2"/>
      <c r="D10" s="2" t="s">
        <v>99</v>
      </c>
      <c r="E10" s="6" t="s">
        <v>96</v>
      </c>
      <c r="F10" s="6" t="s">
        <v>96</v>
      </c>
      <c r="G10" s="6" t="s">
        <v>97</v>
      </c>
      <c r="H10" s="6" t="s">
        <v>98</v>
      </c>
      <c r="I10" s="6" t="s">
        <v>99</v>
      </c>
      <c r="J10" s="6" t="s">
        <v>100</v>
      </c>
    </row>
    <row r="11" spans="3:10" x14ac:dyDescent="0.25">
      <c r="C11" s="2"/>
      <c r="D11" s="2" t="s">
        <v>98</v>
      </c>
      <c r="E11" s="6" t="s">
        <v>96</v>
      </c>
      <c r="F11" s="6" t="s">
        <v>96</v>
      </c>
      <c r="G11" s="6" t="s">
        <v>96</v>
      </c>
      <c r="H11" s="6" t="s">
        <v>96</v>
      </c>
      <c r="I11" s="6" t="s">
        <v>98</v>
      </c>
      <c r="J11" s="6" t="s">
        <v>99</v>
      </c>
    </row>
    <row r="12" spans="3:10" x14ac:dyDescent="0.25">
      <c r="C12" s="2"/>
      <c r="D12" s="2" t="s">
        <v>107</v>
      </c>
      <c r="E12" s="6" t="s">
        <v>110</v>
      </c>
      <c r="F12" s="6" t="s">
        <v>110</v>
      </c>
      <c r="G12" s="6" t="s">
        <v>110</v>
      </c>
      <c r="H12" s="6" t="s">
        <v>110</v>
      </c>
      <c r="I12" s="6" t="s">
        <v>110</v>
      </c>
      <c r="J12" s="6" t="s">
        <v>110</v>
      </c>
    </row>
    <row r="14" spans="3:10" x14ac:dyDescent="0.25">
      <c r="D14" s="14" t="s">
        <v>111</v>
      </c>
      <c r="E14" s="2">
        <v>0</v>
      </c>
      <c r="F14" s="2">
        <v>1</v>
      </c>
      <c r="G14" s="2">
        <v>0</v>
      </c>
      <c r="H14" s="2">
        <v>1</v>
      </c>
    </row>
    <row r="15" spans="3:10" x14ac:dyDescent="0.25">
      <c r="E15" s="2">
        <v>0</v>
      </c>
      <c r="F15" s="2">
        <v>0</v>
      </c>
      <c r="G15" s="2">
        <v>1</v>
      </c>
      <c r="H15" s="2">
        <v>0</v>
      </c>
    </row>
    <row r="16" spans="3:10" x14ac:dyDescent="0.25">
      <c r="E16" s="2">
        <v>0</v>
      </c>
      <c r="F16" s="2">
        <v>0</v>
      </c>
      <c r="G16" s="2">
        <v>0</v>
      </c>
      <c r="H16" s="2">
        <v>1</v>
      </c>
    </row>
    <row r="17" spans="5:8" x14ac:dyDescent="0.25">
      <c r="E17" s="2">
        <v>0</v>
      </c>
      <c r="F17" s="2">
        <v>0</v>
      </c>
      <c r="G17" s="2">
        <v>0</v>
      </c>
      <c r="H17" s="2">
        <v>0</v>
      </c>
    </row>
  </sheetData>
  <phoneticPr fontId="3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B205-C620-4A3C-9586-27B4AE429E8A}">
  <dimension ref="B2:I28"/>
  <sheetViews>
    <sheetView tabSelected="1" topLeftCell="A22" workbookViewId="0">
      <selection activeCell="H24" sqref="H24"/>
    </sheetView>
  </sheetViews>
  <sheetFormatPr defaultRowHeight="15" x14ac:dyDescent="0.25"/>
  <cols>
    <col min="1" max="1" width="6.140625" customWidth="1"/>
    <col min="2" max="2" width="13.28515625" customWidth="1"/>
    <col min="4" max="4" width="16.7109375" customWidth="1"/>
    <col min="5" max="5" width="14.7109375" customWidth="1"/>
  </cols>
  <sheetData>
    <row r="2" spans="2:9" x14ac:dyDescent="0.25">
      <c r="B2" t="s">
        <v>119</v>
      </c>
      <c r="C2">
        <v>70</v>
      </c>
      <c r="D2" t="s">
        <v>120</v>
      </c>
    </row>
    <row r="3" spans="2:9" x14ac:dyDescent="0.25">
      <c r="B3" t="s">
        <v>71</v>
      </c>
      <c r="C3">
        <v>16</v>
      </c>
      <c r="D3" t="s">
        <v>115</v>
      </c>
    </row>
    <row r="4" spans="2:9" x14ac:dyDescent="0.25">
      <c r="B4" t="s">
        <v>112</v>
      </c>
      <c r="C4">
        <v>309.5</v>
      </c>
      <c r="D4" t="s">
        <v>117</v>
      </c>
    </row>
    <row r="5" spans="2:9" x14ac:dyDescent="0.25">
      <c r="B5" t="s">
        <v>113</v>
      </c>
      <c r="C5">
        <v>250</v>
      </c>
      <c r="D5" t="s">
        <v>117</v>
      </c>
    </row>
    <row r="6" spans="2:9" x14ac:dyDescent="0.25">
      <c r="B6" t="s">
        <v>114</v>
      </c>
      <c r="C6">
        <v>7.1492399999999998</v>
      </c>
    </row>
    <row r="8" spans="2:9" x14ac:dyDescent="0.25">
      <c r="B8" t="s">
        <v>73</v>
      </c>
      <c r="C8">
        <v>10</v>
      </c>
      <c r="D8" t="s">
        <v>116</v>
      </c>
    </row>
    <row r="9" spans="2:9" x14ac:dyDescent="0.25">
      <c r="B9" t="s">
        <v>74</v>
      </c>
      <c r="C9">
        <v>15</v>
      </c>
      <c r="D9" t="s">
        <v>116</v>
      </c>
    </row>
    <row r="10" spans="2:9" x14ac:dyDescent="0.25">
      <c r="B10" t="s">
        <v>118</v>
      </c>
      <c r="C10">
        <v>4.2895440000000002</v>
      </c>
    </row>
    <row r="11" spans="2:9" x14ac:dyDescent="0.25">
      <c r="B11" t="s">
        <v>121</v>
      </c>
      <c r="C11">
        <v>877.64080000000001</v>
      </c>
    </row>
    <row r="13" spans="2:9" x14ac:dyDescent="0.25">
      <c r="B13" t="s">
        <v>122</v>
      </c>
      <c r="C13" t="s">
        <v>123</v>
      </c>
      <c r="E13" s="15" t="s">
        <v>124</v>
      </c>
      <c r="G13" s="16" t="s">
        <v>125</v>
      </c>
      <c r="H13" s="16" t="s">
        <v>126</v>
      </c>
      <c r="I13" t="s">
        <v>127</v>
      </c>
    </row>
    <row r="14" spans="2:9" x14ac:dyDescent="0.25">
      <c r="B14" t="s">
        <v>128</v>
      </c>
      <c r="C14">
        <v>0</v>
      </c>
      <c r="E14">
        <v>17.5</v>
      </c>
      <c r="G14">
        <v>35</v>
      </c>
      <c r="H14">
        <v>52.5</v>
      </c>
      <c r="I14">
        <v>70</v>
      </c>
    </row>
    <row r="15" spans="2:9" x14ac:dyDescent="0.25">
      <c r="B15" t="s">
        <v>135</v>
      </c>
      <c r="C15">
        <v>0</v>
      </c>
      <c r="E15">
        <v>45</v>
      </c>
      <c r="G15">
        <v>90</v>
      </c>
      <c r="H15">
        <v>135</v>
      </c>
      <c r="I15">
        <v>180</v>
      </c>
    </row>
    <row r="16" spans="2:9" x14ac:dyDescent="0.25">
      <c r="B16" t="s">
        <v>113</v>
      </c>
      <c r="C16">
        <v>0</v>
      </c>
      <c r="D16" s="18" t="s">
        <v>130</v>
      </c>
      <c r="E16" s="18">
        <v>62.25</v>
      </c>
      <c r="F16" s="18" t="s">
        <v>132</v>
      </c>
      <c r="G16" s="18">
        <v>12</v>
      </c>
      <c r="H16">
        <v>187.5</v>
      </c>
      <c r="I16">
        <v>250</v>
      </c>
    </row>
    <row r="17" spans="2:9" x14ac:dyDescent="0.25">
      <c r="B17" t="s">
        <v>129</v>
      </c>
      <c r="C17">
        <v>0</v>
      </c>
      <c r="D17" s="18" t="s">
        <v>131</v>
      </c>
      <c r="E17" s="18">
        <v>330</v>
      </c>
      <c r="F17" s="18" t="s">
        <v>133</v>
      </c>
      <c r="G17" s="18">
        <v>565</v>
      </c>
      <c r="H17">
        <v>741</v>
      </c>
      <c r="I17">
        <v>877</v>
      </c>
    </row>
    <row r="19" spans="2:9" x14ac:dyDescent="0.25">
      <c r="D19" t="s">
        <v>134</v>
      </c>
      <c r="E19">
        <v>400</v>
      </c>
    </row>
    <row r="23" spans="2:9" x14ac:dyDescent="0.25">
      <c r="C23" s="19" t="s">
        <v>7</v>
      </c>
      <c r="D23" s="19" t="s">
        <v>141</v>
      </c>
      <c r="E23" s="19" t="s">
        <v>142</v>
      </c>
      <c r="F23" s="19" t="s">
        <v>128</v>
      </c>
    </row>
    <row r="24" spans="2:9" x14ac:dyDescent="0.25">
      <c r="C24" s="17" t="s">
        <v>136</v>
      </c>
      <c r="D24" s="17" t="s">
        <v>143</v>
      </c>
      <c r="E24" s="17" t="s">
        <v>144</v>
      </c>
      <c r="F24" s="17">
        <v>0</v>
      </c>
    </row>
    <row r="25" spans="2:9" x14ac:dyDescent="0.25">
      <c r="C25" s="17" t="s">
        <v>137</v>
      </c>
      <c r="D25" s="17">
        <v>100</v>
      </c>
      <c r="E25" s="17">
        <v>50</v>
      </c>
      <c r="F25" s="17">
        <v>17.5</v>
      </c>
    </row>
    <row r="26" spans="2:9" x14ac:dyDescent="0.25">
      <c r="C26" s="17" t="s">
        <v>138</v>
      </c>
      <c r="D26" s="17">
        <v>150</v>
      </c>
      <c r="E26" s="17">
        <v>100</v>
      </c>
      <c r="F26" s="17">
        <v>35</v>
      </c>
    </row>
    <row r="27" spans="2:9" x14ac:dyDescent="0.25">
      <c r="C27" s="17" t="s">
        <v>139</v>
      </c>
      <c r="D27" s="17">
        <v>200</v>
      </c>
      <c r="E27" s="17">
        <v>150</v>
      </c>
      <c r="F27" s="17">
        <v>52.5</v>
      </c>
    </row>
    <row r="28" spans="2:9" x14ac:dyDescent="0.25">
      <c r="C28" s="17" t="s">
        <v>140</v>
      </c>
      <c r="D28" s="17">
        <v>250</v>
      </c>
      <c r="E28" s="17">
        <v>200</v>
      </c>
      <c r="F28" s="17">
        <v>70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AL_Design</vt:lpstr>
      <vt:lpstr>ASCII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raphel chiramal</dc:creator>
  <cp:lastModifiedBy>raphel chiramal</cp:lastModifiedBy>
  <dcterms:created xsi:type="dcterms:W3CDTF">2015-06-05T18:17:20Z</dcterms:created>
  <dcterms:modified xsi:type="dcterms:W3CDTF">2021-07-09T14:33:30Z</dcterms:modified>
</cp:coreProperties>
</file>